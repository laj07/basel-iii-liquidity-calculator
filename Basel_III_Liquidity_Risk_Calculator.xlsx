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ural Jacob\Downloads\Basel III Liquidity Risk Calculator\"/>
    </mc:Choice>
  </mc:AlternateContent>
  <xr:revisionPtr revIDLastSave="0" documentId="8_{21E02C91-BCCE-4027-85F9-6F87F99C24CD}" xr6:coauthVersionLast="47" xr6:coauthVersionMax="47" xr10:uidLastSave="{00000000-0000-0000-0000-000000000000}"/>
  <bookViews>
    <workbookView xWindow="10718" yWindow="0" windowWidth="10965" windowHeight="12863" firstSheet="1" activeTab="1" xr2:uid="{00000000-000D-0000-FFFF-FFFF00000000}"/>
  </bookViews>
  <sheets>
    <sheet name="Inputs" sheetId="1" r:id="rId1"/>
    <sheet name="LCR" sheetId="2" r:id="rId2"/>
    <sheet name="NSFR" sheetId="3" r:id="rId3"/>
    <sheet name="Stres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C13" i="4"/>
  <c r="C12" i="4"/>
  <c r="C11" i="4"/>
  <c r="B16" i="3"/>
  <c r="D16" i="3" s="1"/>
  <c r="B15" i="3"/>
  <c r="D15" i="3" s="1"/>
  <c r="D14" i="3"/>
  <c r="B14" i="3"/>
  <c r="D13" i="3"/>
  <c r="B13" i="3"/>
  <c r="B12" i="3"/>
  <c r="D12" i="3" s="1"/>
  <c r="D7" i="3"/>
  <c r="B7" i="3"/>
  <c r="D6" i="3"/>
  <c r="B6" i="3"/>
  <c r="B5" i="3"/>
  <c r="D5" i="3" s="1"/>
  <c r="D4" i="3"/>
  <c r="B4" i="3"/>
  <c r="B3" i="3"/>
  <c r="D3" i="3" s="1"/>
  <c r="D8" i="3" s="1"/>
  <c r="B15" i="2"/>
  <c r="D15" i="2" s="1"/>
  <c r="B14" i="2"/>
  <c r="D14" i="2" s="1"/>
  <c r="D13" i="2"/>
  <c r="B13" i="2"/>
  <c r="D12" i="2"/>
  <c r="B12" i="2"/>
  <c r="B7" i="2"/>
  <c r="D7" i="2" s="1"/>
  <c r="D6" i="2"/>
  <c r="B6" i="2"/>
  <c r="D5" i="2"/>
  <c r="B5" i="2"/>
  <c r="D4" i="2"/>
  <c r="D8" i="2" s="1"/>
  <c r="B4" i="2"/>
  <c r="D3" i="2"/>
  <c r="B3" i="2"/>
  <c r="D17" i="3" l="1"/>
  <c r="D19" i="3" s="1"/>
  <c r="D16" i="2"/>
  <c r="B13" i="4"/>
  <c r="D13" i="4" s="1"/>
  <c r="B12" i="4"/>
  <c r="D12" i="4" s="1"/>
  <c r="D18" i="2"/>
  <c r="B11" i="4"/>
  <c r="D11" i="4" s="1"/>
  <c r="E11" i="4" s="1"/>
  <c r="B14" i="4"/>
  <c r="D14" i="4" s="1"/>
  <c r="B6" i="5" l="1"/>
  <c r="D20" i="3"/>
  <c r="B7" i="5" s="1"/>
  <c r="B10" i="5"/>
  <c r="E14" i="4"/>
  <c r="B4" i="5"/>
  <c r="D19" i="2"/>
  <c r="B5" i="5" s="1"/>
  <c r="B9" i="5"/>
  <c r="E13" i="4"/>
  <c r="B8" i="5"/>
  <c r="E12" i="4"/>
</calcChain>
</file>

<file path=xl/sharedStrings.xml><?xml version="1.0" encoding="utf-8"?>
<sst xmlns="http://schemas.openxmlformats.org/spreadsheetml/2006/main" count="93" uniqueCount="62">
  <si>
    <t>ASSETS</t>
  </si>
  <si>
    <t>Amount ($m)</t>
  </si>
  <si>
    <t>Cash</t>
  </si>
  <si>
    <t>Central Bank Reserves</t>
  </si>
  <si>
    <t>Government Bonds</t>
  </si>
  <si>
    <t>AAA Corporate Bonds</t>
  </si>
  <si>
    <t>BB Corporate Bonds</t>
  </si>
  <si>
    <t>Home Loans</t>
  </si>
  <si>
    <t>Corporate Loans</t>
  </si>
  <si>
    <t>LIABILITIES &amp; CAPITAL</t>
  </si>
  <si>
    <t>Retail Deposits (Stable)</t>
  </si>
  <si>
    <t>Retail Deposits (Less Stable)</t>
  </si>
  <si>
    <t>Wholesale Funding (&lt;30 days)</t>
  </si>
  <si>
    <t>Interbank Loans (&lt;30 days)</t>
  </si>
  <si>
    <t>Equity / Tier 1 Capital</t>
  </si>
  <si>
    <t>Wholesale Funding (&gt;1 year)</t>
  </si>
  <si>
    <t>HQLA (High Quality Liquid Assets)</t>
  </si>
  <si>
    <t>Asset</t>
  </si>
  <si>
    <t>Amount</t>
  </si>
  <si>
    <t>Haircut</t>
  </si>
  <si>
    <t>HQLA Value</t>
  </si>
  <si>
    <t>Total HQLA</t>
  </si>
  <si>
    <t>Net Cash Outflows (30-day stress)</t>
  </si>
  <si>
    <t>Liability</t>
  </si>
  <si>
    <t>Run-off Rate</t>
  </si>
  <si>
    <t>Cash Outflow</t>
  </si>
  <si>
    <t>Total Cash Outflows</t>
  </si>
  <si>
    <t>LCR</t>
  </si>
  <si>
    <t>Status</t>
  </si>
  <si>
    <t>Available Stable Funding (ASF)</t>
  </si>
  <si>
    <t>Funding Source</t>
  </si>
  <si>
    <t>ASF Factor</t>
  </si>
  <si>
    <t>ASF Value</t>
  </si>
  <si>
    <t>Wholesale Funding (&gt;1yr)</t>
  </si>
  <si>
    <t>Interbank (overnight)</t>
  </si>
  <si>
    <t>Total ASF</t>
  </si>
  <si>
    <t>Required Stable Funding (RSF)</t>
  </si>
  <si>
    <t>RSF Factor</t>
  </si>
  <si>
    <t>RSF Value</t>
  </si>
  <si>
    <t>Total RSF</t>
  </si>
  <si>
    <t>NSFR</t>
  </si>
  <si>
    <t>Stress Scenario Assumptions</t>
  </si>
  <si>
    <t>Scenario</t>
  </si>
  <si>
    <t>Retail Stable Run-off</t>
  </si>
  <si>
    <t>Retail Less Stable Run-off</t>
  </si>
  <si>
    <t>Wholesale Run-off</t>
  </si>
  <si>
    <t>Interbank Run-off</t>
  </si>
  <si>
    <t>Base Case</t>
  </si>
  <si>
    <t>Mild Stress</t>
  </si>
  <si>
    <t>Moderate Stress</t>
  </si>
  <si>
    <t>Severe Stress</t>
  </si>
  <si>
    <t>LCR Under Stress</t>
  </si>
  <si>
    <t>Total Outflows</t>
  </si>
  <si>
    <t>Basel III Liquidity Risk Dashboard</t>
  </si>
  <si>
    <t>Metric</t>
  </si>
  <si>
    <t>Value</t>
  </si>
  <si>
    <t>LCR (Base Case)</t>
  </si>
  <si>
    <t>LCR Status</t>
  </si>
  <si>
    <t>NSFR Status</t>
  </si>
  <si>
    <t>LCR — Mild Stress</t>
  </si>
  <si>
    <t>LCR — Moderate Stress</t>
  </si>
  <si>
    <t>LCR — Severe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</si>
</sst>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rgb="FF1F4E78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/>
    <xf numFmtId="0" fontId="0" fillId="3" borderId="0" xfId="0" applyFill="1"/>
    <xf numFmtId="0" fontId="4" fillId="4" borderId="0" xfId="0" applyFont="1" applyFill="1"/>
    <xf numFmtId="0" fontId="0" fillId="3" borderId="0" xfId="0" applyFill="1"/>
    <xf numFmtId="0" fontId="3" fillId="2" borderId="0" xfId="0" applyFont="1" applyFill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A10" sqref="A10"/>
    </sheetView>
  </sheetViews>
  <sheetFormatPr defaultRowHeight="14.25" x14ac:dyDescent="0.45"/>
  <cols>
    <col min="1" max="1" width="33" customWidth="1"/>
    <col min="2" max="2" width="15" customWidth="1"/>
  </cols>
  <sheetData>
    <row r="1" spans="1:2" x14ac:dyDescent="0.45">
      <c r="A1" s="5" t="s">
        <v>0</v>
      </c>
      <c r="B1" s="5" t="s">
        <v>1</v>
      </c>
    </row>
    <row r="2" spans="1:2" x14ac:dyDescent="0.45">
      <c r="A2" t="s">
        <v>2</v>
      </c>
      <c r="B2">
        <v>500</v>
      </c>
    </row>
    <row r="3" spans="1:2" x14ac:dyDescent="0.45">
      <c r="A3" t="s">
        <v>3</v>
      </c>
      <c r="B3">
        <v>200</v>
      </c>
    </row>
    <row r="4" spans="1:2" x14ac:dyDescent="0.45">
      <c r="A4" t="s">
        <v>4</v>
      </c>
      <c r="B4">
        <v>300</v>
      </c>
    </row>
    <row r="5" spans="1:2" x14ac:dyDescent="0.45">
      <c r="A5" t="s">
        <v>5</v>
      </c>
      <c r="B5">
        <v>200</v>
      </c>
    </row>
    <row r="6" spans="1:2" x14ac:dyDescent="0.45">
      <c r="A6" t="s">
        <v>6</v>
      </c>
      <c r="B6">
        <v>100</v>
      </c>
    </row>
    <row r="7" spans="1:2" x14ac:dyDescent="0.45">
      <c r="A7" t="s">
        <v>7</v>
      </c>
      <c r="B7">
        <v>2000</v>
      </c>
    </row>
    <row r="8" spans="1:2" x14ac:dyDescent="0.45">
      <c r="A8" t="s">
        <v>8</v>
      </c>
      <c r="B8">
        <v>800</v>
      </c>
    </row>
    <row r="10" spans="1:2" x14ac:dyDescent="0.45">
      <c r="A10" s="5" t="s">
        <v>9</v>
      </c>
    </row>
    <row r="11" spans="1:2" x14ac:dyDescent="0.45">
      <c r="A11" t="s">
        <v>10</v>
      </c>
      <c r="B11">
        <v>1000</v>
      </c>
    </row>
    <row r="12" spans="1:2" x14ac:dyDescent="0.45">
      <c r="A12" t="s">
        <v>11</v>
      </c>
      <c r="B12">
        <v>500</v>
      </c>
    </row>
    <row r="13" spans="1:2" x14ac:dyDescent="0.45">
      <c r="A13" t="s">
        <v>12</v>
      </c>
      <c r="B13">
        <v>400</v>
      </c>
    </row>
    <row r="14" spans="1:2" x14ac:dyDescent="0.45">
      <c r="A14" t="s">
        <v>13</v>
      </c>
      <c r="B14">
        <v>200</v>
      </c>
    </row>
    <row r="15" spans="1:2" x14ac:dyDescent="0.45">
      <c r="A15" t="s">
        <v>14</v>
      </c>
      <c r="B15">
        <v>600</v>
      </c>
    </row>
    <row r="16" spans="1:2" x14ac:dyDescent="0.45">
      <c r="A16" t="s">
        <v>15</v>
      </c>
      <c r="B16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workbookViewId="0">
      <selection activeCell="A25" sqref="A25"/>
    </sheetView>
  </sheetViews>
  <sheetFormatPr defaultRowHeight="14.25" x14ac:dyDescent="0.45"/>
  <cols>
    <col min="1" max="1" width="37" customWidth="1"/>
    <col min="2" max="2" width="15" customWidth="1"/>
    <col min="3" max="3" width="16" customWidth="1"/>
    <col min="4" max="4" width="29" customWidth="1"/>
  </cols>
  <sheetData>
    <row r="1" spans="1:4" x14ac:dyDescent="0.45">
      <c r="A1" s="6" t="s">
        <v>16</v>
      </c>
      <c r="B1" s="7"/>
      <c r="C1" s="7"/>
      <c r="D1" s="7"/>
    </row>
    <row r="2" spans="1:4" x14ac:dyDescent="0.45">
      <c r="A2" s="5" t="s">
        <v>17</v>
      </c>
      <c r="B2" s="5" t="s">
        <v>18</v>
      </c>
      <c r="C2" s="5" t="s">
        <v>19</v>
      </c>
      <c r="D2" s="5" t="s">
        <v>20</v>
      </c>
    </row>
    <row r="3" spans="1:4" x14ac:dyDescent="0.45">
      <c r="A3" t="s">
        <v>2</v>
      </c>
      <c r="B3">
        <f>Inputs!B2</f>
        <v>500</v>
      </c>
      <c r="C3" s="1">
        <v>0</v>
      </c>
      <c r="D3">
        <f>B3*(1-C3)</f>
        <v>500</v>
      </c>
    </row>
    <row r="4" spans="1:4" x14ac:dyDescent="0.45">
      <c r="A4" t="s">
        <v>3</v>
      </c>
      <c r="B4">
        <f>Inputs!B3</f>
        <v>200</v>
      </c>
      <c r="C4" s="1">
        <v>0</v>
      </c>
      <c r="D4">
        <f>B4*(1-C4)</f>
        <v>200</v>
      </c>
    </row>
    <row r="5" spans="1:4" x14ac:dyDescent="0.45">
      <c r="A5" t="s">
        <v>4</v>
      </c>
      <c r="B5">
        <f>Inputs!B4</f>
        <v>300</v>
      </c>
      <c r="C5" s="1">
        <v>0</v>
      </c>
      <c r="D5">
        <f>B5*(1-C5)</f>
        <v>300</v>
      </c>
    </row>
    <row r="6" spans="1:4" x14ac:dyDescent="0.45">
      <c r="A6" t="s">
        <v>5</v>
      </c>
      <c r="B6">
        <f>Inputs!B5</f>
        <v>200</v>
      </c>
      <c r="C6" s="1">
        <v>0.15</v>
      </c>
      <c r="D6">
        <f>B6*(1-C6)</f>
        <v>170</v>
      </c>
    </row>
    <row r="7" spans="1:4" x14ac:dyDescent="0.45">
      <c r="A7" t="s">
        <v>6</v>
      </c>
      <c r="B7">
        <f>Inputs!B6</f>
        <v>100</v>
      </c>
      <c r="C7" s="1">
        <v>0.5</v>
      </c>
      <c r="D7">
        <f>B7*(1-C7)</f>
        <v>50</v>
      </c>
    </row>
    <row r="8" spans="1:4" x14ac:dyDescent="0.45">
      <c r="A8" s="2" t="s">
        <v>21</v>
      </c>
      <c r="D8" s="2">
        <f>SUM(D3:D7)</f>
        <v>1220</v>
      </c>
    </row>
    <row r="10" spans="1:4" x14ac:dyDescent="0.45">
      <c r="A10" s="6" t="s">
        <v>22</v>
      </c>
      <c r="B10" s="7"/>
      <c r="C10" s="7"/>
      <c r="D10" s="7"/>
    </row>
    <row r="11" spans="1:4" x14ac:dyDescent="0.45">
      <c r="A11" s="5" t="s">
        <v>23</v>
      </c>
      <c r="B11" s="5" t="s">
        <v>18</v>
      </c>
      <c r="C11" s="5" t="s">
        <v>24</v>
      </c>
      <c r="D11" s="5" t="s">
        <v>25</v>
      </c>
    </row>
    <row r="12" spans="1:4" x14ac:dyDescent="0.45">
      <c r="A12" t="s">
        <v>10</v>
      </c>
      <c r="B12">
        <f>Inputs!B11</f>
        <v>1000</v>
      </c>
      <c r="C12" s="1">
        <v>0.05</v>
      </c>
      <c r="D12">
        <f>B12*C12</f>
        <v>50</v>
      </c>
    </row>
    <row r="13" spans="1:4" x14ac:dyDescent="0.45">
      <c r="A13" t="s">
        <v>11</v>
      </c>
      <c r="B13">
        <f>Inputs!B12</f>
        <v>500</v>
      </c>
      <c r="C13" s="1">
        <v>0.1</v>
      </c>
      <c r="D13">
        <f>B13*C13</f>
        <v>50</v>
      </c>
    </row>
    <row r="14" spans="1:4" x14ac:dyDescent="0.45">
      <c r="A14" t="s">
        <v>12</v>
      </c>
      <c r="B14">
        <f>Inputs!B13</f>
        <v>400</v>
      </c>
      <c r="C14" s="1">
        <v>0.25</v>
      </c>
      <c r="D14">
        <f>B14*C14</f>
        <v>100</v>
      </c>
    </row>
    <row r="15" spans="1:4" x14ac:dyDescent="0.45">
      <c r="A15" t="s">
        <v>13</v>
      </c>
      <c r="B15">
        <f>Inputs!B14</f>
        <v>200</v>
      </c>
      <c r="C15" s="1">
        <v>1</v>
      </c>
      <c r="D15">
        <f>B15*C15</f>
        <v>200</v>
      </c>
    </row>
    <row r="16" spans="1:4" x14ac:dyDescent="0.45">
      <c r="A16" s="2" t="s">
        <v>26</v>
      </c>
      <c r="D16" s="2">
        <f>SUM(D12:D15)</f>
        <v>400</v>
      </c>
    </row>
    <row r="18" spans="1:4" x14ac:dyDescent="0.45">
      <c r="A18" s="2" t="s">
        <v>27</v>
      </c>
      <c r="D18" s="3">
        <f>D8/D16</f>
        <v>3.05</v>
      </c>
    </row>
    <row r="19" spans="1:4" x14ac:dyDescent="0.45">
      <c r="A19" s="2" t="s">
        <v>28</v>
      </c>
      <c r="D19" s="8" t="str">
        <f>IF(D18&gt;=1,"PASS","FAIL")</f>
        <v>PASS</v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A10" sqref="A10:D11"/>
    </sheetView>
  </sheetViews>
  <sheetFormatPr defaultRowHeight="14.25" x14ac:dyDescent="0.45"/>
  <cols>
    <col min="1" max="1" width="34" customWidth="1"/>
    <col min="2" max="2" width="15" customWidth="1"/>
    <col min="3" max="3" width="14" customWidth="1"/>
    <col min="4" max="4" width="29" customWidth="1"/>
  </cols>
  <sheetData>
    <row r="1" spans="1:4" x14ac:dyDescent="0.45">
      <c r="A1" s="6" t="s">
        <v>29</v>
      </c>
      <c r="B1" s="7"/>
      <c r="C1" s="7"/>
      <c r="D1" s="7"/>
    </row>
    <row r="2" spans="1:4" x14ac:dyDescent="0.45">
      <c r="A2" s="5" t="s">
        <v>30</v>
      </c>
      <c r="B2" s="5" t="s">
        <v>18</v>
      </c>
      <c r="C2" s="5" t="s">
        <v>31</v>
      </c>
      <c r="D2" s="5" t="s">
        <v>32</v>
      </c>
    </row>
    <row r="3" spans="1:4" x14ac:dyDescent="0.45">
      <c r="A3" t="s">
        <v>14</v>
      </c>
      <c r="B3">
        <f>Inputs!B15</f>
        <v>600</v>
      </c>
      <c r="C3" s="1">
        <v>1</v>
      </c>
      <c r="D3">
        <f>B3*C3</f>
        <v>600</v>
      </c>
    </row>
    <row r="4" spans="1:4" x14ac:dyDescent="0.45">
      <c r="A4" t="s">
        <v>10</v>
      </c>
      <c r="B4">
        <f>Inputs!B11</f>
        <v>1000</v>
      </c>
      <c r="C4" s="1">
        <v>0.95</v>
      </c>
      <c r="D4">
        <f>B4*C4</f>
        <v>950</v>
      </c>
    </row>
    <row r="5" spans="1:4" x14ac:dyDescent="0.45">
      <c r="A5" t="s">
        <v>11</v>
      </c>
      <c r="B5">
        <f>Inputs!B12</f>
        <v>500</v>
      </c>
      <c r="C5" s="1">
        <v>0.9</v>
      </c>
      <c r="D5">
        <f>B5*C5</f>
        <v>450</v>
      </c>
    </row>
    <row r="6" spans="1:4" x14ac:dyDescent="0.45">
      <c r="A6" t="s">
        <v>33</v>
      </c>
      <c r="B6">
        <f>Inputs!B16</f>
        <v>300</v>
      </c>
      <c r="C6" s="1">
        <v>0.5</v>
      </c>
      <c r="D6">
        <f>B6*C6</f>
        <v>150</v>
      </c>
    </row>
    <row r="7" spans="1:4" x14ac:dyDescent="0.45">
      <c r="A7" t="s">
        <v>34</v>
      </c>
      <c r="B7">
        <f>Inputs!B14</f>
        <v>200</v>
      </c>
      <c r="C7" s="1">
        <v>0</v>
      </c>
      <c r="D7">
        <f>B7*C7</f>
        <v>0</v>
      </c>
    </row>
    <row r="8" spans="1:4" x14ac:dyDescent="0.45">
      <c r="A8" s="2" t="s">
        <v>35</v>
      </c>
      <c r="D8" s="2">
        <f>SUM(D3:D7)</f>
        <v>2150</v>
      </c>
    </row>
    <row r="10" spans="1:4" x14ac:dyDescent="0.45">
      <c r="A10" s="6" t="s">
        <v>36</v>
      </c>
      <c r="B10" s="7"/>
      <c r="C10" s="7"/>
      <c r="D10" s="7"/>
    </row>
    <row r="11" spans="1:4" x14ac:dyDescent="0.45">
      <c r="A11" s="5" t="s">
        <v>17</v>
      </c>
      <c r="B11" s="5" t="s">
        <v>18</v>
      </c>
      <c r="C11" s="5" t="s">
        <v>37</v>
      </c>
      <c r="D11" s="5" t="s">
        <v>38</v>
      </c>
    </row>
    <row r="12" spans="1:4" x14ac:dyDescent="0.45">
      <c r="A12" t="s">
        <v>2</v>
      </c>
      <c r="B12">
        <f>Inputs!B2</f>
        <v>500</v>
      </c>
      <c r="C12" s="1">
        <v>0</v>
      </c>
      <c r="D12">
        <f>B12*C12</f>
        <v>0</v>
      </c>
    </row>
    <row r="13" spans="1:4" x14ac:dyDescent="0.45">
      <c r="A13" t="s">
        <v>4</v>
      </c>
      <c r="B13">
        <f>Inputs!B4</f>
        <v>300</v>
      </c>
      <c r="C13" s="1">
        <v>0.05</v>
      </c>
      <c r="D13">
        <f>B13*C13</f>
        <v>15</v>
      </c>
    </row>
    <row r="14" spans="1:4" x14ac:dyDescent="0.45">
      <c r="A14" t="s">
        <v>5</v>
      </c>
      <c r="B14">
        <f>Inputs!B5</f>
        <v>200</v>
      </c>
      <c r="C14" s="1">
        <v>0.15</v>
      </c>
      <c r="D14">
        <f>B14*C14</f>
        <v>30</v>
      </c>
    </row>
    <row r="15" spans="1:4" x14ac:dyDescent="0.45">
      <c r="A15" t="s">
        <v>7</v>
      </c>
      <c r="B15">
        <f>Inputs!B7</f>
        <v>2000</v>
      </c>
      <c r="C15" s="1">
        <v>0.65</v>
      </c>
      <c r="D15">
        <f>B15*C15</f>
        <v>1300</v>
      </c>
    </row>
    <row r="16" spans="1:4" x14ac:dyDescent="0.45">
      <c r="A16" t="s">
        <v>8</v>
      </c>
      <c r="B16">
        <f>Inputs!B8</f>
        <v>800</v>
      </c>
      <c r="C16" s="1">
        <v>0.85</v>
      </c>
      <c r="D16">
        <f>B16*C16</f>
        <v>680</v>
      </c>
    </row>
    <row r="17" spans="1:4" x14ac:dyDescent="0.45">
      <c r="A17" s="2" t="s">
        <v>39</v>
      </c>
      <c r="D17" s="2">
        <f>SUM(D12:D16)</f>
        <v>2025</v>
      </c>
    </row>
    <row r="19" spans="1:4" x14ac:dyDescent="0.45">
      <c r="A19" s="2" t="s">
        <v>40</v>
      </c>
      <c r="D19" s="3">
        <f>D8/D17</f>
        <v>1.0617283950617284</v>
      </c>
    </row>
    <row r="20" spans="1:4" x14ac:dyDescent="0.45">
      <c r="A20" s="2" t="s">
        <v>28</v>
      </c>
      <c r="D20" s="8" t="str">
        <f>IF(D19&gt;=1,"PASS","FAIL")</f>
        <v>PASS</v>
      </c>
    </row>
  </sheetData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A9" sqref="A9:F9"/>
    </sheetView>
  </sheetViews>
  <sheetFormatPr defaultRowHeight="14.25" x14ac:dyDescent="0.45"/>
  <cols>
    <col min="1" max="1" width="31" customWidth="1"/>
    <col min="2" max="2" width="25" customWidth="1"/>
    <col min="3" max="3" width="60" customWidth="1"/>
    <col min="4" max="4" width="21" customWidth="1"/>
    <col min="5" max="5" width="29" customWidth="1"/>
    <col min="6" max="6" width="14" customWidth="1"/>
  </cols>
  <sheetData>
    <row r="1" spans="1:6" x14ac:dyDescent="0.45">
      <c r="A1" s="6" t="s">
        <v>41</v>
      </c>
      <c r="B1" s="7"/>
      <c r="C1" s="7"/>
      <c r="D1" s="7"/>
      <c r="E1" s="7"/>
    </row>
    <row r="2" spans="1:6" x14ac:dyDescent="0.45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</row>
    <row r="3" spans="1:6" x14ac:dyDescent="0.45">
      <c r="A3" t="s">
        <v>47</v>
      </c>
      <c r="B3" s="1">
        <v>0.05</v>
      </c>
      <c r="C3" s="1">
        <v>0.1</v>
      </c>
      <c r="D3" s="1">
        <v>0.25</v>
      </c>
      <c r="E3" s="1">
        <v>1</v>
      </c>
    </row>
    <row r="4" spans="1:6" x14ac:dyDescent="0.45">
      <c r="A4" t="s">
        <v>48</v>
      </c>
      <c r="B4" s="1">
        <v>0.08</v>
      </c>
      <c r="C4" s="1">
        <v>0.15</v>
      </c>
      <c r="D4" s="1">
        <v>0.35</v>
      </c>
      <c r="E4" s="1">
        <v>1</v>
      </c>
    </row>
    <row r="5" spans="1:6" x14ac:dyDescent="0.45">
      <c r="A5" t="s">
        <v>49</v>
      </c>
      <c r="B5" s="1">
        <v>0.12</v>
      </c>
      <c r="C5" s="1">
        <v>0.2</v>
      </c>
      <c r="D5" s="1">
        <v>0.5</v>
      </c>
      <c r="E5" s="1">
        <v>1</v>
      </c>
    </row>
    <row r="6" spans="1:6" x14ac:dyDescent="0.45">
      <c r="A6" t="s">
        <v>50</v>
      </c>
      <c r="B6" s="1">
        <v>0.2</v>
      </c>
      <c r="C6" s="1">
        <v>0.3</v>
      </c>
      <c r="D6" s="1">
        <v>0.75</v>
      </c>
      <c r="E6" s="1">
        <v>1</v>
      </c>
    </row>
    <row r="9" spans="1:6" x14ac:dyDescent="0.45">
      <c r="A9" s="6" t="s">
        <v>51</v>
      </c>
      <c r="B9" s="7"/>
      <c r="C9" s="7"/>
      <c r="D9" s="7"/>
      <c r="E9" s="7"/>
      <c r="F9" s="7"/>
    </row>
    <row r="10" spans="1:6" x14ac:dyDescent="0.45">
      <c r="A10" s="5" t="s">
        <v>42</v>
      </c>
      <c r="B10" s="5" t="s">
        <v>21</v>
      </c>
      <c r="C10" s="5" t="s">
        <v>52</v>
      </c>
      <c r="D10" s="5" t="s">
        <v>27</v>
      </c>
      <c r="E10" s="5" t="s">
        <v>28</v>
      </c>
      <c r="F10" s="9"/>
    </row>
    <row r="11" spans="1:6" x14ac:dyDescent="0.45">
      <c r="A11" t="s">
        <v>47</v>
      </c>
      <c r="B11">
        <f>LCR!D8</f>
        <v>1220</v>
      </c>
      <c r="C11">
        <f>Inputs!B11*B3+Inputs!B12*C3+Inputs!B13*D3+Inputs!B14*E3</f>
        <v>400</v>
      </c>
      <c r="D11" s="4">
        <f>B11/C11</f>
        <v>3.05</v>
      </c>
      <c r="E11" t="str">
        <f>IF(D11&gt;=1,"PASS","FAIL")</f>
        <v>PASS</v>
      </c>
    </row>
    <row r="12" spans="1:6" x14ac:dyDescent="0.45">
      <c r="A12" t="s">
        <v>48</v>
      </c>
      <c r="B12">
        <f>LCR!D8</f>
        <v>1220</v>
      </c>
      <c r="C12">
        <f>Inputs!B11*B4+Inputs!B12*C4+Inputs!B13*D4+Inputs!B14*E4</f>
        <v>495</v>
      </c>
      <c r="D12" s="4">
        <f>B12/C12</f>
        <v>2.4646464646464645</v>
      </c>
      <c r="E12" t="str">
        <f>IF(D12&gt;=1,"PASS","FAIL")</f>
        <v>PASS</v>
      </c>
    </row>
    <row r="13" spans="1:6" x14ac:dyDescent="0.45">
      <c r="A13" t="s">
        <v>49</v>
      </c>
      <c r="B13">
        <f>LCR!D8</f>
        <v>1220</v>
      </c>
      <c r="C13">
        <f>Inputs!B11*B5+Inputs!B12*C5+Inputs!B13*D5+Inputs!B14*E5</f>
        <v>620</v>
      </c>
      <c r="D13" s="4">
        <f>B13/C13</f>
        <v>1.967741935483871</v>
      </c>
      <c r="E13" t="str">
        <f>IF(D13&gt;=1,"PASS","FAIL")</f>
        <v>PASS</v>
      </c>
    </row>
    <row r="14" spans="1:6" x14ac:dyDescent="0.45">
      <c r="A14" t="s">
        <v>50</v>
      </c>
      <c r="B14">
        <f>LCR!D8</f>
        <v>1220</v>
      </c>
      <c r="C14">
        <f>Inputs!B11*B6+Inputs!B12*C6+Inputs!B13*D6+Inputs!B14*E6</f>
        <v>850</v>
      </c>
      <c r="D14" s="4">
        <f>B14/C14</f>
        <v>1.4352941176470588</v>
      </c>
      <c r="E14" t="str">
        <f>IF(D14&gt;=1,"PASS","FAIL")</f>
        <v>PASS</v>
      </c>
    </row>
  </sheetData>
  <mergeCells count="2">
    <mergeCell ref="A1:E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A9" sqref="A9:B9"/>
    </sheetView>
  </sheetViews>
  <sheetFormatPr defaultRowHeight="14.25" x14ac:dyDescent="0.45"/>
  <cols>
    <col min="1" max="1" width="38" customWidth="1"/>
    <col min="2" max="2" width="15" customWidth="1"/>
  </cols>
  <sheetData>
    <row r="1" spans="1:2" ht="18" x14ac:dyDescent="0.55000000000000004">
      <c r="A1" s="10" t="s">
        <v>53</v>
      </c>
      <c r="B1" s="7"/>
    </row>
    <row r="3" spans="1:2" x14ac:dyDescent="0.45">
      <c r="A3" s="5" t="s">
        <v>54</v>
      </c>
      <c r="B3" s="5" t="s">
        <v>55</v>
      </c>
    </row>
    <row r="4" spans="1:2" x14ac:dyDescent="0.45">
      <c r="A4" s="11" t="s">
        <v>56</v>
      </c>
      <c r="B4" s="12">
        <f>LCR!D18</f>
        <v>3.05</v>
      </c>
    </row>
    <row r="5" spans="1:2" x14ac:dyDescent="0.45">
      <c r="A5" s="13" t="s">
        <v>57</v>
      </c>
      <c r="B5" s="13" t="str">
        <f>LCR!D19</f>
        <v>PASS</v>
      </c>
    </row>
    <row r="6" spans="1:2" x14ac:dyDescent="0.45">
      <c r="A6" s="11" t="s">
        <v>40</v>
      </c>
      <c r="B6" s="12">
        <f>NSFR!D19</f>
        <v>1.0617283950617284</v>
      </c>
    </row>
    <row r="7" spans="1:2" x14ac:dyDescent="0.45">
      <c r="A7" s="13" t="s">
        <v>58</v>
      </c>
      <c r="B7" s="13" t="str">
        <f>NSFR!D20</f>
        <v>PASS</v>
      </c>
    </row>
    <row r="8" spans="1:2" x14ac:dyDescent="0.45">
      <c r="A8" s="11" t="s">
        <v>59</v>
      </c>
      <c r="B8" s="12">
        <f>Stress!D12</f>
        <v>2.4646464646464645</v>
      </c>
    </row>
    <row r="9" spans="1:2" x14ac:dyDescent="0.45">
      <c r="A9" s="13" t="s">
        <v>60</v>
      </c>
      <c r="B9" s="14">
        <f>Stress!D13</f>
        <v>1.967741935483871</v>
      </c>
    </row>
    <row r="10" spans="1:2" x14ac:dyDescent="0.45">
      <c r="A10" s="11" t="s">
        <v>61</v>
      </c>
      <c r="B10" s="12">
        <f>Stress!D14</f>
        <v>1.4352941176470588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LCR</vt:lpstr>
      <vt:lpstr>NSFR</vt:lpstr>
      <vt:lpstr>Stress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Laural Jacob</cp:lastModifiedBy>
  <dcterms:created xsi:type="dcterms:W3CDTF">2026-06-30T06:53:41Z</dcterms:created>
  <dcterms:modified xsi:type="dcterms:W3CDTF">2026-06-30T07:08:50Z</dcterms:modified>
</cp:coreProperties>
</file>